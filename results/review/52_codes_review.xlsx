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-108" yWindow="-108" windowWidth="23256" windowHeight="13176" firstSheet="0" activeTab="2"/>
  </bookViews>
  <sheets>
    <sheet name="the six that look wrong" sheetId="7" state="visible" r:id="rId4"/>
    <sheet name="by chapter" sheetId="3" state="visible" r:id="rId1"/>
    <sheet name="the other 46" sheetId="5" state="visible" r:id="rId2"/>
    <sheet name="accuracy effect" sheetId="8" state="visible" r:id="rId3"/>
  </sheets>
  <definedNames>
    <definedName name="_xlnm._FilterDatabase" localSheetId="2" hidden="1">'the other 46'!$A$1:$G$47</definedName>
  </definedNames>
  <calcPr calcId="0"/>
</workbook>
</file>

<file path=xl/sharedStrings.xml><?xml version="1.0" encoding="utf-8"?>
<sst xmlns="http://schemas.openxmlformats.org/spreadsheetml/2006/main" count="418" uniqueCount="418">
  <si>
    <t>ICD-9-CM</t>
  </si>
  <si>
    <t>ICD-9-CM label</t>
  </si>
  <si>
    <t>ICD-9 chapter</t>
  </si>
  <si>
    <t>Proposed ICDA-8</t>
  </si>
  <si>
    <t>ICDA-8 label</t>
  </si>
  <si>
    <t>Justification</t>
  </si>
  <si>
    <t>ICDA-8 codes in that block</t>
  </si>
  <si>
    <t>Is the ICD-9 number itself in ICDA-8?</t>
  </si>
  <si>
    <t>ClinicalBERT top cosine</t>
  </si>
  <si>
    <t>Rank of proposed, ClinicalBERT</t>
  </si>
  <si>
    <t>SapBERT top cosine</t>
  </si>
  <si>
    <t>Rank of proposed, SapBERT</t>
  </si>
  <si>
    <t>In the co-occurrence data</t>
  </si>
  <si>
    <t>165</t>
  </si>
  <si>
    <t>malignant neoplasm of other and illdefined sites within the respiratory system and intrathoracic organs</t>
  </si>
  <si>
    <t>2 neoplasms</t>
  </si>
  <si>
    <t>163</t>
  </si>
  <si>
    <t>malignant neoplasm of other and unspecified respiratory organs</t>
  </si>
  <si>
    <t>160 malignant neoplasm of nose nasal cavities middle ear and accessory sinuses; 161 malignant neoplasm of larynx; 162 malignant neoplasm of trachea bronchus and lung; 163 malignant neoplasm of other and unspecified respiratory organs</t>
  </si>
  <si>
    <t>no</t>
  </si>
  <si>
    <t>187 malignant neoplasm of other and unspecified male genital organs (0.965)</t>
  </si>
  <si>
    <t>#4 of 858 (0.963)</t>
  </si>
  <si>
    <t>163 malignant neoplasm of other and unspecified respiratory organs (0.823)</t>
  </si>
  <si>
    <t>#1 of 858 (0.823)</t>
  </si>
  <si>
    <t>175</t>
  </si>
  <si>
    <t>malignant neoplasm of male breast</t>
  </si>
  <si>
    <t>174</t>
  </si>
  <si>
    <t>malignant neoplasm of breast</t>
  </si>
  <si>
    <t>172 malignant melanoma of skin; 173 other malignant neoplasm of skin; 174 malignant neoplasm of breast</t>
  </si>
  <si>
    <t>174 malignant neoplasm of breast (0.988)</t>
  </si>
  <si>
    <t>#1 of 858 (0.988)</t>
  </si>
  <si>
    <t>174 malignant neoplasm of breast (0.774)</t>
  </si>
  <si>
    <t>#1 of 858 (0.774)</t>
  </si>
  <si>
    <t>179</t>
  </si>
  <si>
    <t>malignant neoplasm of uterus part unspecified</t>
  </si>
  <si>
    <t>182</t>
  </si>
  <si>
    <t>other malignant neoplasm of uterus</t>
  </si>
  <si>
    <t>180 malignant neoplasm of cervix uteri; 181 chorionepithelioma; 182 other malignant neoplasm of uterus; 183 malignant neoplasm of ovary fallopian tube and broad ligament</t>
  </si>
  <si>
    <t>149 malignant neoplasm of pharynx unspecified (0.985)</t>
  </si>
  <si>
    <t>#39 of 858 (0.930)</t>
  </si>
  <si>
    <t>182 other malignant neoplasm of uterus (0.793)</t>
  </si>
  <si>
    <t>#1 of 858 (0.793)</t>
  </si>
  <si>
    <t>555</t>
  </si>
  <si>
    <t>regional enteritis</t>
  </si>
  <si>
    <t>9 digestive system</t>
  </si>
  <si>
    <t>563</t>
  </si>
  <si>
    <t>chronic enteritis and ulcerative colitis</t>
  </si>
  <si>
    <t>560 intestinal obstruction without mention of hernia; 561 gastroenteritis and colitis except ulcerative of noninfectious origin; 562 diverticula of intestine; 563 chronic enteritis and ulcerative colitis; 564 functional disorders of intestines; 565 anal fissure and fistula</t>
  </si>
  <si>
    <t>518 bronchiectasis (0.927)</t>
  </si>
  <si>
    <t>#47 of 858 (0.910)</t>
  </si>
  <si>
    <t>563 chronic enteritis and ulcerative colitis (0.721)</t>
  </si>
  <si>
    <t>#1 of 858 (0.721)</t>
  </si>
  <si>
    <t>576</t>
  </si>
  <si>
    <t>other disorders of biliary tract</t>
  </si>
  <si>
    <t>other diseases of gallbladder and biliary ducts</t>
  </si>
  <si>
    <t>574 cholelithiasis; 575 cholecystitis and cholangitis without mention of calculus; 576 other diseases of gallbladder and biliary ducts; 577 diseases of pancreas</t>
  </si>
  <si>
    <t>yes, but a different condition</t>
  </si>
  <si>
    <t>508 other diseases of upper respiratory tract (0.976)</t>
  </si>
  <si>
    <t>#11 of 858 (0.951)</t>
  </si>
  <si>
    <t>576 other diseases of gallbladder and biliary ducts (0.868)</t>
  </si>
  <si>
    <t>#1 of 858 (0.868)</t>
  </si>
  <si>
    <t>745</t>
  </si>
  <si>
    <t>bulbus cordis anomalies and anomalies of cardiac septal closure</t>
  </si>
  <si>
    <t>14 congenital anomalies</t>
  </si>
  <si>
    <t>746</t>
  </si>
  <si>
    <t>congenital anomalies of heart</t>
  </si>
  <si>
    <t>ICD-9 745 is a heart defect and 746 is the only heart code in ICDA-8. ICDA-8 745 also exists but it is ear, face and neck, so the numbers do not line up between the two systems.</t>
  </si>
  <si>
    <t>743 other congenital anomalies of nervous system; 744 congenital anomalies of eye; 745 congenital anomalies of ear face and neck; 746 congenital anomalies of heart; 747 other congenital anomalies of circulatory system</t>
  </si>
  <si>
    <t>524 dentofacial anomalies including malocclusion (0.924)</t>
  </si>
  <si>
    <t>#257 of 858 (0.867)</t>
  </si>
  <si>
    <t>745 congenital anomalies of ear face and neck (0.526)</t>
  </si>
  <si>
    <t>#4 of 858 (0.509)</t>
  </si>
  <si>
    <t>3 endocrine, nutritional, metabolic</t>
  </si>
  <si>
    <t>5 mental disorders</t>
  </si>
  <si>
    <t>6 nervous system and sense organs</t>
  </si>
  <si>
    <t>7 circulatory system</t>
  </si>
  <si>
    <t>8 respiratory system</t>
  </si>
  <si>
    <t>10 genitourinary system</t>
  </si>
  <si>
    <t>13 musculoskeletal and connective tissue</t>
  </si>
  <si>
    <t>Codes with no ICDA-8 match</t>
  </si>
  <si>
    <t>Of which look wrong</t>
  </si>
  <si>
    <t>Share</t>
  </si>
  <si>
    <t>21%</t>
  </si>
  <si>
    <t>19%</t>
  </si>
  <si>
    <t>13%</t>
  </si>
  <si>
    <t>12%</t>
  </si>
  <si>
    <t>10%</t>
  </si>
  <si>
    <t>8%</t>
  </si>
  <si>
    <t>6%</t>
  </si>
  <si>
    <t>4%</t>
  </si>
  <si>
    <t>2%</t>
  </si>
  <si>
    <t>Model</t>
  </si>
  <si>
    <t>Rule number</t>
  </si>
  <si>
    <t>Rule</t>
  </si>
  <si>
    <t>Similarity threshold</t>
  </si>
  <si>
    <t>Top N co-occurring</t>
  </si>
  <si>
    <t>Mappings for the 52 excluded codes</t>
  </si>
  <si>
    <t>F1 codes dropped</t>
  </si>
  <si>
    <t>F1 codes included</t>
  </si>
  <si>
    <t>F1 six corrections</t>
  </si>
  <si>
    <t>Cost of including them</t>
  </si>
  <si>
    <t>Change from the corrections</t>
  </si>
  <si>
    <t>ClinicalBERT</t>
  </si>
  <si>
    <t>top cosine or top co-occurrence</t>
  </si>
  <si>
    <t>top cosine or in both lists</t>
  </si>
  <si>
    <t>top co-occurrence or in both lists</t>
  </si>
  <si>
    <t>any of the three</t>
  </si>
  <si>
    <t>SapBERT</t>
  </si>
  <si>
    <t>ICD-9-CM</t>
  </si>
  <si>
    <t>ICD-9-CM label</t>
  </si>
  <si>
    <t>ICD-9 chapter</t>
  </si>
  <si>
    <t>ClinicalBERT top cosine</t>
  </si>
  <si>
    <t>SapBERT top cosine</t>
  </si>
  <si>
    <t>In the co-occurrence data</t>
  </si>
  <si>
    <t>Top co-occurring ICDA-8</t>
  </si>
  <si>
    <t>164</t>
  </si>
  <si>
    <t>malignant neoplasm of thymus heart and mediastinum</t>
  </si>
  <si>
    <t>2 neoplasms</t>
  </si>
  <si>
    <t>142 malignant neoplasm of salivary gland (0.984)</t>
  </si>
  <si>
    <t>162 malignant neoplasm of trachea bronchus and lung (0.624)</t>
  </si>
  <si>
    <t>no</t>
  </si>
  <si>
    <t>none in the co-occurrence data</t>
  </si>
  <si>
    <t>176</t>
  </si>
  <si>
    <t>kaposis sarcoma</t>
  </si>
  <si>
    <t>218 uterine fibroma (0.946)</t>
  </si>
  <si>
    <t>200 lymphosarcoma and reticulumcell sarcoma (0.539)</t>
  </si>
  <si>
    <t>230</t>
  </si>
  <si>
    <t>carcinoma in situ of digestive organs</t>
  </si>
  <si>
    <t>159 malignant neoplasm of unspecified digestive organs (0.964)</t>
  </si>
  <si>
    <t>159 malignant neoplasm of unspecified digestive organs (0.713)</t>
  </si>
  <si>
    <t>231</t>
  </si>
  <si>
    <t>carcinoma in situ of respiratory system</t>
  </si>
  <si>
    <t>172 malignant melanoma of skin (0.954)</t>
  </si>
  <si>
    <t>212 benign neoplasm of respiratory system (0.725)</t>
  </si>
  <si>
    <t>233</t>
  </si>
  <si>
    <t>carcinoma in situ of breast and genitourinary system</t>
  </si>
  <si>
    <t>193 malignant neoplasm of thyroid gland (0.958)</t>
  </si>
  <si>
    <t>786 symptoms referable to genitourinary system (0.570)</t>
  </si>
  <si>
    <t>234</t>
  </si>
  <si>
    <t>carcinoma in situ of other and unspecified sites</t>
  </si>
  <si>
    <t>195 malignant neoplasm of illdefined sites (0.958)</t>
  </si>
  <si>
    <t>228 benign neoplasm of other and unspecified organs and tissues (0.676)</t>
  </si>
  <si>
    <t>237</t>
  </si>
  <si>
    <t>neoplasm of uncertain behavior of endocrine glands and nervous system</t>
  </si>
  <si>
    <t>238 neoplasm of unspecified nature of eye brain and other parts of nervous system (0.982)</t>
  </si>
  <si>
    <t>226 benign neoplasm of endocrine glands (0.737)</t>
  </si>
  <si>
    <t>238</t>
  </si>
  <si>
    <t>neoplasm of uncertain behavior of other and unspecified sites and tissues</t>
  </si>
  <si>
    <t>237 neoplasm of unspecified nature of other genitourinary organs (0.973)</t>
  </si>
  <si>
    <t>228 benign neoplasm of other and unspecified organs and tissues (0.783)</t>
  </si>
  <si>
    <t>249</t>
  </si>
  <si>
    <t>secondary diabetes mellitus</t>
  </si>
  <si>
    <t>3 endocrine, nutritional, metabolic</t>
  </si>
  <si>
    <t>412 chronic ischemic heart disease (0.955)</t>
  </si>
  <si>
    <t>250 diabetes mellitus (0.750)</t>
  </si>
  <si>
    <t>259</t>
  </si>
  <si>
    <t>other endocrine disorders</t>
  </si>
  <si>
    <t>127 other intestinal helminthiasis (0.963)</t>
  </si>
  <si>
    <t>258 polyglandular dysfunction and other diseases of endocrine glands (0.760)</t>
  </si>
  <si>
    <t>263</t>
  </si>
  <si>
    <t>other and unspecified proteincalorie malnutrition</t>
  </si>
  <si>
    <t>267 protein malnutrition (0.919)</t>
  </si>
  <si>
    <t>267 protein malnutrition (0.790)</t>
  </si>
  <si>
    <t>305</t>
  </si>
  <si>
    <t>nondependent abuse of drugs</t>
  </si>
  <si>
    <t>5 mental disorders</t>
  </si>
  <si>
    <t>979 alcohol in combination with specified medicinal agents (0.926)</t>
  </si>
  <si>
    <t>304 drug dependence (0.720)</t>
  </si>
  <si>
    <t>308</t>
  </si>
  <si>
    <t>acute reaction to stress</t>
  </si>
  <si>
    <t>977 adverse effect of other and unspecified drugs (0.904)</t>
  </si>
  <si>
    <t>307 transient situational disturbances (0.476)</t>
  </si>
  <si>
    <t>312</t>
  </si>
  <si>
    <t>disturbance of conduct not elsewhere classified</t>
  </si>
  <si>
    <t>684 impetigo (0.892)</t>
  </si>
  <si>
    <t>306 special symptoms not elsewhere classified (0.629)</t>
  </si>
  <si>
    <t>315</t>
  </si>
  <si>
    <t>specific delays in development</t>
  </si>
  <si>
    <t>314 profound mental retardation (0.891)</t>
  </si>
  <si>
    <t>315 unspecified mental retardation (0.664)</t>
  </si>
  <si>
    <t>316</t>
  </si>
  <si>
    <t>psychic factors associated with diseases classified elsewhere</t>
  </si>
  <si>
    <t>309 mental disorders not specified as psychotic associated with physical conditions (0.918)</t>
  </si>
  <si>
    <t>309 mental disorders not specified as psychotic associated with physical conditions (0.693)</t>
  </si>
  <si>
    <t>327</t>
  </si>
  <si>
    <t>organic sleep disorders</t>
  </si>
  <si>
    <t>6 nervous system and sense organs</t>
  </si>
  <si>
    <t>301 personality disorders (0.954)</t>
  </si>
  <si>
    <t>305 physical disorders of presumably psychogenic origin (0.518)</t>
  </si>
  <si>
    <t>330</t>
  </si>
  <si>
    <t>cerebral degenerations usually manifest in childhood</t>
  </si>
  <si>
    <t>636 renal disease arising during pregnancy and the puerperium (0.918)</t>
  </si>
  <si>
    <t>290 senile and presenile dementia (0.559)</t>
  </si>
  <si>
    <t>331</t>
  </si>
  <si>
    <t>other cerebral degenerations</t>
  </si>
  <si>
    <t>344 other cerebral paralysis (0.966)</t>
  </si>
  <si>
    <t>347 other diseases of brain (0.791)</t>
  </si>
  <si>
    <t>333</t>
  </si>
  <si>
    <t>other extrapyramidal disease and abnormal movement disorders</t>
  </si>
  <si>
    <t>127 other intestinal helminthiasis (0.950)</t>
  </si>
  <si>
    <t>994 effects of other external causes (0.574)</t>
  </si>
  <si>
    <t>334</t>
  </si>
  <si>
    <t>spinocerebellar disease</t>
  </si>
  <si>
    <t>348 motor neurone disease (0.957)</t>
  </si>
  <si>
    <t>332 hereditary ataxia (0.744)</t>
  </si>
  <si>
    <t>335</t>
  </si>
  <si>
    <t>anterior horn cell disease</t>
  </si>
  <si>
    <t>348 motor neurone disease (0.960)</t>
  </si>
  <si>
    <t>348 motor neurone disease (0.573)</t>
  </si>
  <si>
    <t>338</t>
  </si>
  <si>
    <t>pain not elsewhere classified</t>
  </si>
  <si>
    <t>306 special symptoms not elsewhere classified (0.899)</t>
  </si>
  <si>
    <t>355 other and unspecified forms of neuralgia and neuritis (0.640)</t>
  </si>
  <si>
    <t>358</t>
  </si>
  <si>
    <t>myoneural disorders</t>
  </si>
  <si>
    <t>523 periodontal diseases (0.965)</t>
  </si>
  <si>
    <t>330 hereditary neuromuscular disorders (0.685)</t>
  </si>
  <si>
    <t>359</t>
  </si>
  <si>
    <t>muscular dystrophies and other myopathies</t>
  </si>
  <si>
    <t>712 rheumatoid arthritis and allied conditions (0.929)</t>
  </si>
  <si>
    <t>733 other diseases of muscle tendon and fascia (0.726)</t>
  </si>
  <si>
    <t>382</t>
  </si>
  <si>
    <t>suppurative and unspecified otitis media</t>
  </si>
  <si>
    <t>383 mastoiditis without mention of otitis media (0.954)</t>
  </si>
  <si>
    <t>380 otitis externa (0.716)</t>
  </si>
  <si>
    <t>405</t>
  </si>
  <si>
    <t>secondary hypertension</t>
  </si>
  <si>
    <t>7 circulatory system</t>
  </si>
  <si>
    <t>414 asymptomatic ischemic heart disease (0.947)</t>
  </si>
  <si>
    <t>400 malignant hypertension (0.793)</t>
  </si>
  <si>
    <t>417</t>
  </si>
  <si>
    <t>other diseases of pulmonary circulation</t>
  </si>
  <si>
    <t>458 other diseases of circulatory system (0.970)</t>
  </si>
  <si>
    <t>458 other diseases of circulatory system (0.798)</t>
  </si>
  <si>
    <t>495</t>
  </si>
  <si>
    <t>extrinsic allergic alveolitis</t>
  </si>
  <si>
    <t>8 respiratory system</t>
  </si>
  <si>
    <t>466 acute bronchitis and bronchiolitis (0.936)</t>
  </si>
  <si>
    <t>507 hay fever (0.603)</t>
  </si>
  <si>
    <t>496</t>
  </si>
  <si>
    <t>chronic airway obstruction not elsewhere classified</t>
  </si>
  <si>
    <t>76 NA (0.919)</t>
  </si>
  <si>
    <t>776 anoxic and hypoxic conditions not elsewhere classifiable (0.632)</t>
  </si>
  <si>
    <t>508</t>
  </si>
  <si>
    <t>respiratory conditions due to other and unspecified external agents</t>
  </si>
  <si>
    <t>231 neoplasm of unspecified nature of respiratory organs (0.923)</t>
  </si>
  <si>
    <t>519 other diseases of respiratory system (0.763)</t>
  </si>
  <si>
    <t>515</t>
  </si>
  <si>
    <t>postinflammatory pulmonary fibrosis</t>
  </si>
  <si>
    <t>716 polymyositis and dermatomyositis (0.942)</t>
  </si>
  <si>
    <t>10 NA (0.555)</t>
  </si>
  <si>
    <t>516</t>
  </si>
  <si>
    <t>other alveolar and parietoalveolar pneumonopathy</t>
  </si>
  <si>
    <t>517 other chronic interstitial pneumonia (0.958)</t>
  </si>
  <si>
    <t>516 other pneumoconioses and related diseases (0.685)</t>
  </si>
  <si>
    <t>517</t>
  </si>
  <si>
    <t>lung involvement in conditions classified elsewhere</t>
  </si>
  <si>
    <t>237 neoplasm of unspecified nature of other genitourinary organs (0.917)</t>
  </si>
  <si>
    <t>517 other chronic interstitial pneumonia (0.663)</t>
  </si>
  <si>
    <t>557</t>
  </si>
  <si>
    <t>vascular insufficiency of intestine</t>
  </si>
  <si>
    <t>9 digestive system</t>
  </si>
  <si>
    <t>562 diverticula of intestine (0.943)</t>
  </si>
  <si>
    <t>560 intestinal obstruction without mention of hernia (0.534)</t>
  </si>
  <si>
    <t>585</t>
  </si>
  <si>
    <t>chronic kidney disease</t>
  </si>
  <si>
    <t>10 genitourinary system</t>
  </si>
  <si>
    <t>582 chronic nephritis (0.981)</t>
  </si>
  <si>
    <t>582 chronic nephritis (0.818)</t>
  </si>
  <si>
    <t>586</t>
  </si>
  <si>
    <t>renal failure unspecified</t>
  </si>
  <si>
    <t>65 NA (0.927)</t>
  </si>
  <si>
    <t>792 uremia (0.603)</t>
  </si>
  <si>
    <t>588</t>
  </si>
  <si>
    <t>disorders resulting from impaired renal function</t>
  </si>
  <si>
    <t>324 late effects of intracranial abscess or pyogenic infection (0.911)</t>
  </si>
  <si>
    <t>582 chronic nephritis (0.547)</t>
  </si>
  <si>
    <t>615</t>
  </si>
  <si>
    <t>inflammatory diseases of uterus except cervix</t>
  </si>
  <si>
    <t>622 infective diseases of uterus except cervix vagina and vulva (0.964)</t>
  </si>
  <si>
    <t>622 infective diseases of uterus except cervix vagina and vulva (0.759)</t>
  </si>
  <si>
    <t>617</t>
  </si>
  <si>
    <t>endometriosis</t>
  </si>
  <si>
    <t>133 acariasis (0.967)</t>
  </si>
  <si>
    <t>631 ectopic pregnancy (0.551)</t>
  </si>
  <si>
    <t>619</t>
  </si>
  <si>
    <t>fistula involving female genital tract</t>
  </si>
  <si>
    <t>939 foreign body in genitourinary tract (0.936)</t>
  </si>
  <si>
    <t>939 foreign body in genitourinary tract (0.467)</t>
  </si>
  <si>
    <t>625</t>
  </si>
  <si>
    <t>pain and other symptoms associated with female genital organs</t>
  </si>
  <si>
    <t>784 symptoms referable to upper gastrointestinal tract (0.913)</t>
  </si>
  <si>
    <t>629 other diseases of female genital organs (0.728)</t>
  </si>
  <si>
    <t>712</t>
  </si>
  <si>
    <t>crystal arthropathies</t>
  </si>
  <si>
    <t>13 musculoskeletal and connective tissue</t>
  </si>
  <si>
    <t>126 ancylostomiasis (0.959)</t>
  </si>
  <si>
    <t>713 osteoarthritis and allied conditions (0.578)</t>
  </si>
  <si>
    <t>713</t>
  </si>
  <si>
    <t>arthropathy associated with other disorders classified elsewhere</t>
  </si>
  <si>
    <t>292 psychosis associated with intracranial infection (0.918)</t>
  </si>
  <si>
    <t>729 other diseases of joint (0.795)</t>
  </si>
  <si>
    <t>720</t>
  </si>
  <si>
    <t>ankylosing spondylitis and other inflammatory spondylopathies</t>
  </si>
  <si>
    <t>354 polyneuritis and polyradiculitis (0.956)</t>
  </si>
  <si>
    <t>727 ankylosis of joint (0.576)</t>
  </si>
  <si>
    <t>721</t>
  </si>
  <si>
    <t>spondylosis and allied disorders</t>
  </si>
  <si>
    <t>446 polyarteritis nodosa and allied conditions (0.964)</t>
  </si>
  <si>
    <t>728 vertebrogenic pain syndrome (0.566)</t>
  </si>
  <si>
    <t>Same number in both, and the same thing.</t>
  </si>
  <si>
    <t>Its respiratory block stops at 163, other and unspecified respiratory organs.</t>
  </si>
  <si>
    <t>Breast cancer is one code in ICDA-8, 174. Not split by sex.</t>
  </si>
  <si>
    <t>Regional enteritis is a form of chronic enteritis, and 563 is the chronic one.</t>
  </si>
  <si>
    <t>The uterus is split into 180 cervix, 181 chorionepithelioma and 182 other, so part unspecified goes to 182.</t>
  </si>
  <si>
    <t xml:space="preserve">no</t>
  </si>
  <si>
    <t xml:space="preserve">yes, other diseases of gallbladder and biliary ducts</t>
  </si>
  <si>
    <t xml:space="preserve">yes, congenital anomalies of ear face and neck</t>
  </si>
  <si>
    <t xml:space="preserve">Model</t>
  </si>
  <si>
    <t xml:space="preserve">Rule number</t>
  </si>
  <si>
    <t xml:space="preserve">Rule</t>
  </si>
  <si>
    <t xml:space="preserve">Similarity threshold</t>
  </si>
  <si>
    <t xml:space="preserve">Top N co-occurring</t>
  </si>
  <si>
    <t xml:space="preserve">Mappings for the 52 excluded codes</t>
  </si>
  <si>
    <t xml:space="preserve">Correct pairs to find</t>
  </si>
  <si>
    <t xml:space="preserve">True positives</t>
  </si>
  <si>
    <t xml:space="preserve">False positives</t>
  </si>
  <si>
    <t xml:space="preserve">False negatives</t>
  </si>
  <si>
    <t xml:space="preserve">Precision</t>
  </si>
  <si>
    <t xml:space="preserve">Recall</t>
  </si>
  <si>
    <t xml:space="preserve">F1</t>
  </si>
  <si>
    <t xml:space="preserve">Accuracy</t>
  </si>
  <si>
    <t xml:space="preserve">F1 codes dropped</t>
  </si>
  <si>
    <t xml:space="preserve">F1 six corrections</t>
  </si>
  <si>
    <t xml:space="preserve">Cost of including them</t>
  </si>
  <si>
    <t xml:space="preserve">ClinicalBERT</t>
  </si>
  <si>
    <t xml:space="preserve">top cosine or top co-occurrence</t>
  </si>
  <si>
    <t xml:space="preserve">top cosine or in both lists</t>
  </si>
  <si>
    <t xml:space="preserve">top co-occurrence or in both lists</t>
  </si>
  <si>
    <t xml:space="preserve">any of the three</t>
  </si>
  <si>
    <t xml:space="preserve">SapBERT</t>
  </si>
  <si>
    <t xml:space="preserve">ICD-9-CM</t>
  </si>
  <si>
    <t xml:space="preserve">ICD-9-CM label</t>
  </si>
  <si>
    <t xml:space="preserve">ICD-9 chapter</t>
  </si>
  <si>
    <t xml:space="preserve">Proposed ICDA-8</t>
  </si>
  <si>
    <t xml:space="preserve">ICDA-8 label</t>
  </si>
  <si>
    <t xml:space="preserve">Justification</t>
  </si>
  <si>
    <t xml:space="preserve">ICDA-8 codes in that block</t>
  </si>
  <si>
    <t xml:space="preserve">ClinicalBERT top cosine</t>
  </si>
  <si>
    <t xml:space="preserve">Rank of proposed, ClinicalBERT</t>
  </si>
  <si>
    <t xml:space="preserve">SapBERT top cosine</t>
  </si>
  <si>
    <t xml:space="preserve">Rank of proposed, SapBERT</t>
  </si>
  <si>
    <t xml:space="preserve">In the co-occurrence data</t>
  </si>
  <si>
    <t xml:space="preserve">165</t>
  </si>
  <si>
    <t xml:space="preserve">malignant neoplasm of other and illdefined sites within the respiratory system and intrathoracic organs</t>
  </si>
  <si>
    <t xml:space="preserve">2 neoplasms</t>
  </si>
  <si>
    <t xml:space="preserve">163</t>
  </si>
  <si>
    <t xml:space="preserve">malignant neoplasm of other and unspecified respiratory organs</t>
  </si>
  <si>
    <t xml:space="preserve">Its respiratory block stops at 163, other and unspecified respiratory organs.</t>
  </si>
  <si>
    <t xml:space="preserve">160 malignant neoplasm of nose nasal cavities middle ear and accessory sinuses; 161 malignant neoplasm of larynx; 162 malignant neoplasm of trachea bronchus and lung; 163 malignant neoplasm of other and unspecified respiratory organs</t>
  </si>
  <si>
    <t xml:space="preserve">187 malignant neoplasm of other and unspecified male genital organs (0.965)</t>
  </si>
  <si>
    <t xml:space="preserve">#4 of 858 (0.963)</t>
  </si>
  <si>
    <t xml:space="preserve">163 malignant neoplasm of other and unspecified respiratory organs (0.823)</t>
  </si>
  <si>
    <t xml:space="preserve">#1 of 858 (0.823)</t>
  </si>
  <si>
    <t xml:space="preserve">175</t>
  </si>
  <si>
    <t xml:space="preserve">malignant neoplasm of male breast</t>
  </si>
  <si>
    <t xml:space="preserve">174</t>
  </si>
  <si>
    <t xml:space="preserve">malignant neoplasm of breast</t>
  </si>
  <si>
    <t xml:space="preserve">Breast cancer is one code in ICDA-8, 174. Not split by sex.</t>
  </si>
  <si>
    <t xml:space="preserve">172 malignant melanoma of skin; 173 other malignant neoplasm of skin; 174 malignant neoplasm of breast</t>
  </si>
  <si>
    <t xml:space="preserve">174 malignant neoplasm of breast (0.988)</t>
  </si>
  <si>
    <t xml:space="preserve">#1 of 858 (0.988)</t>
  </si>
  <si>
    <t xml:space="preserve">174 malignant neoplasm of breast (0.774)</t>
  </si>
  <si>
    <t xml:space="preserve">#1 of 858 (0.774)</t>
  </si>
  <si>
    <t xml:space="preserve">179</t>
  </si>
  <si>
    <t xml:space="preserve">malignant neoplasm of uterus part unspecified</t>
  </si>
  <si>
    <t xml:space="preserve">182</t>
  </si>
  <si>
    <t xml:space="preserve">other malignant neoplasm of uterus</t>
  </si>
  <si>
    <t xml:space="preserve">The uterus is split into 180 cervix, 181 chorionepithelioma and 182 other, so part unspecified goes to 182.</t>
  </si>
  <si>
    <t xml:space="preserve">180 malignant neoplasm of cervix uteri; 181 chorionepithelioma; 182 other malignant neoplasm of uterus; 183 malignant neoplasm of ovary fallopian tube and broad ligament</t>
  </si>
  <si>
    <t xml:space="preserve">149 malignant neoplasm of pharynx unspecified (0.985)</t>
  </si>
  <si>
    <t xml:space="preserve">#39 of 858 (0.930)</t>
  </si>
  <si>
    <t xml:space="preserve">182 other malignant neoplasm of uterus (0.793)</t>
  </si>
  <si>
    <t xml:space="preserve">#1 of 858 (0.793)</t>
  </si>
  <si>
    <t xml:space="preserve">555</t>
  </si>
  <si>
    <t xml:space="preserve">regional enteritis</t>
  </si>
  <si>
    <t xml:space="preserve">9 digestive system</t>
  </si>
  <si>
    <t xml:space="preserve">563</t>
  </si>
  <si>
    <t xml:space="preserve">chronic enteritis and ulcerative colitis</t>
  </si>
  <si>
    <t xml:space="preserve">Regional enteritis is a form of chronic enteritis, and 563 is the chronic one.</t>
  </si>
  <si>
    <t xml:space="preserve">560 intestinal obstruction without mention of hernia; 561 gastroenteritis and colitis except ulcerative of noninfectious origin; 562 diverticula of intestine; 563 chronic enteritis and ulcerative colitis; 564 functional disorders of intestines; 565 anal fissure and fistula</t>
  </si>
  <si>
    <t xml:space="preserve">518 bronchiectasis (0.927)</t>
  </si>
  <si>
    <t xml:space="preserve">#47 of 858 (0.910)</t>
  </si>
  <si>
    <t xml:space="preserve">563 chronic enteritis and ulcerative colitis (0.721)</t>
  </si>
  <si>
    <t xml:space="preserve">#1 of 858 (0.721)</t>
  </si>
  <si>
    <t xml:space="preserve">576</t>
  </si>
  <si>
    <t xml:space="preserve">other disorders of biliary tract</t>
  </si>
  <si>
    <t xml:space="preserve">other diseases of gallbladder and biliary ducts</t>
  </si>
  <si>
    <t xml:space="preserve">Same number in both, and the same thing.</t>
  </si>
  <si>
    <t xml:space="preserve">574 cholelithiasis; 575 cholecystitis and cholangitis without mention of calculus; 576 other diseases of gallbladder and biliary ducts; 577 diseases of pancreas</t>
  </si>
  <si>
    <t xml:space="preserve">508 other diseases of upper respiratory tract (0.976)</t>
  </si>
  <si>
    <t xml:space="preserve">#11 of 858 (0.951)</t>
  </si>
  <si>
    <t xml:space="preserve">576 other diseases of gallbladder and biliary ducts (0.868)</t>
  </si>
  <si>
    <t xml:space="preserve">#1 of 858 (0.868)</t>
  </si>
  <si>
    <t xml:space="preserve">745</t>
  </si>
  <si>
    <t xml:space="preserve">bulbus cordis anomalies and anomalies of cardiac septal closure</t>
  </si>
  <si>
    <t xml:space="preserve">14 congenital anomalies</t>
  </si>
  <si>
    <t xml:space="preserve">746</t>
  </si>
  <si>
    <t xml:space="preserve">congenital anomalies of heart</t>
  </si>
  <si>
    <t xml:space="preserve">ICD-9 745 is a heart defect and 746 is the only heart code in ICDA-8. ICDA-8 745 also exists but it is ear, face and neck, so the numbers do not line up between the two systems.</t>
  </si>
  <si>
    <t xml:space="preserve">743 other congenital anomalies of nervous system; 744 congenital anomalies of eye; 745 congenital anomalies of ear face and neck; 746 congenital anomalies of heart; 747 other congenital anomalies of circulatory system</t>
  </si>
  <si>
    <t xml:space="preserve">524 dentofacial anomalies including malocclusion (0.924)</t>
  </si>
  <si>
    <t xml:space="preserve">#257 of 858 (0.867)</t>
  </si>
  <si>
    <t xml:space="preserve">745 congenital anomalies of ear face and neck (0.526)</t>
  </si>
  <si>
    <t xml:space="preserve">#4 of 858 (0.509)</t>
  </si>
  <si>
    <t xml:space="preserve">F1 if the 52 are dropped</t>
  </si>
  <si>
    <t xml:space="preserve">F1 with the six fixes</t>
  </si>
  <si>
    <t xml:space="preserve">F1 change from including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</si>
</sst>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color rgb="FF000000"/>
      <name val="Calibri"/>
      <family val="2"/>
      <scheme val="minor"/>
    </font>
    <font>
      <sz val="11"/>
      <color rgb="FF000000"/>
      <name val="Calibri"/>
      <b/>
    </font>
    <font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EAF1FB"/>
      </patternFill>
    </fill>
    <fill>
      <patternFill patternType="solid">
        <fgColor rgb="FFFDF1E4"/>
      </patternFill>
    </fill>
  </fills>
  <borders count="2">
    <border>
      <left/>
      <right/>
      <top/>
      <bottom/>
      <diagonal/>
    </border>
    <border>
      <bottom style="medium">
        <color rgb="FF000000"/>
      </bottom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wrapText="1"/>
    </xf>
    <xf numFmtId="0" fontId="2" fillId="0" borderId="0" xfId="0" applyFont="1" applyAlignment="1">
      <alignment vertical="top" wrapText="1"/>
    </xf>
    <xf numFmtId="0" fontId="1" fillId="2" borderId="1" xfId="0" applyFont="1" applyFill="1" applyBorder="1" applyAlignment="1">
      <alignment vertical="bottom"/>
    </xf>
    <xf numFmtId="0" fontId="2" fillId="3" borderId="0" xfId="0" applyFont="1" applyFill="1"/>
    <xf numFmtId="0" fontId="2" fillId="4" borderId="0" xfId="0" applyFont="1" applyFill="1"/>
    <xf numFmtId="0" fontId="1" fillId="2" borderId="1" xfId="0" applyFont="1" applyFill="1" applyBorder="1" applyAlignment="1">
      <alignment vertical="bottom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ySplit="1" topLeftCell="A2" activePane="bottomLeft" state="frozen"/>
      <selection pane="bottomLeft"/>
    </sheetView>
  </sheetViews>
  <sheetFormatPr defaultRowHeight="15.0" baseColWidth="10"/>
  <cols>
    <col min="1" max="1" width="42.6640625" hidden="0" customWidth="1"/>
    <col min="2" max="2" width="16.6640625" hidden="0" customWidth="1"/>
    <col min="3" max="3" width="13.6640625" hidden="0" customWidth="1"/>
    <col min="4" max="4" width="8.6640625" hidden="0" customWidth="1"/>
  </cols>
  <sheetData>
    <row r="1" ht="28.8" customHeight="1">
      <c r="A1" s="1" t="s">
        <v>2</v>
      </c>
      <c r="B1" s="1" t="s">
        <v>79</v>
      </c>
      <c r="C1" s="1" t="s">
        <v>80</v>
      </c>
      <c r="D1" s="1" t="s">
        <v>81</v>
      </c>
    </row>
    <row r="2">
      <c r="A2" s="2" t="s">
        <v>15</v>
      </c>
      <c r="B2" s="2" t="n">
        <v>11</v>
      </c>
      <c r="C2" s="2" t="n">
        <v>3</v>
      </c>
      <c r="D2" s="2" t="s">
        <v>82</v>
      </c>
    </row>
    <row r="3">
      <c r="A3" s="2" t="s">
        <v>74</v>
      </c>
      <c r="B3" s="2" t="n">
        <v>10</v>
      </c>
      <c r="C3" s="2" t="n">
        <v>0</v>
      </c>
      <c r="D3" s="2" t="s">
        <v>83</v>
      </c>
    </row>
    <row r="4">
      <c r="A4" s="2" t="s">
        <v>77</v>
      </c>
      <c r="B4" s="2" t="n">
        <v>7</v>
      </c>
      <c r="C4" s="2" t="n">
        <v>0</v>
      </c>
      <c r="D4" s="2" t="s">
        <v>84</v>
      </c>
    </row>
    <row r="5">
      <c r="A5" s="2" t="s">
        <v>76</v>
      </c>
      <c r="B5" s="2" t="n">
        <v>6</v>
      </c>
      <c r="C5" s="2" t="n">
        <v>0</v>
      </c>
      <c r="D5" s="2" t="s">
        <v>85</v>
      </c>
    </row>
    <row r="6">
      <c r="A6" s="2" t="s">
        <v>73</v>
      </c>
      <c r="B6" s="2" t="n">
        <v>5</v>
      </c>
      <c r="C6" s="2" t="n">
        <v>0</v>
      </c>
      <c r="D6" s="2" t="s">
        <v>86</v>
      </c>
    </row>
    <row r="7">
      <c r="A7" s="2" t="s">
        <v>78</v>
      </c>
      <c r="B7" s="2" t="n">
        <v>4</v>
      </c>
      <c r="C7" s="2" t="n">
        <v>0</v>
      </c>
      <c r="D7" s="2" t="s">
        <v>87</v>
      </c>
    </row>
    <row r="8">
      <c r="A8" s="2" t="s">
        <v>72</v>
      </c>
      <c r="B8" s="2" t="n">
        <v>3</v>
      </c>
      <c r="C8" s="2" t="n">
        <v>0</v>
      </c>
      <c r="D8" s="2" t="s">
        <v>88</v>
      </c>
    </row>
    <row r="9">
      <c r="A9" s="2" t="s">
        <v>44</v>
      </c>
      <c r="B9" s="2" t="n">
        <v>3</v>
      </c>
      <c r="C9" s="2" t="n">
        <v>2</v>
      </c>
      <c r="D9" s="2" t="s">
        <v>88</v>
      </c>
    </row>
    <row r="10">
      <c r="A10" s="2" t="s">
        <v>75</v>
      </c>
      <c r="B10" s="2" t="n">
        <v>2</v>
      </c>
      <c r="C10" s="2" t="n">
        <v>0</v>
      </c>
      <c r="D10" s="2" t="s">
        <v>89</v>
      </c>
    </row>
    <row r="11">
      <c r="A11" s="2" t="s">
        <v>63</v>
      </c>
      <c r="B11" s="2" t="n">
        <v>1</v>
      </c>
      <c r="C11" s="2" t="n">
        <v>1</v>
      </c>
      <c r="D11" s="2" t="s">
        <v>90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0" baseColWidth="10"/>
  <cols>
    <col min="1" max="1" width="10.6640625" hidden="0" customWidth="1"/>
    <col min="2" max="2" width="34.6640625" hidden="0" customWidth="1"/>
    <col min="3" max="3" width="28.6640625" hidden="0" customWidth="1"/>
    <col min="4" max="4" width="34.6640625" hidden="0" customWidth="1"/>
    <col min="5" max="5" width="34.6640625" hidden="0" customWidth="1"/>
    <col min="6" max="6" width="12.6640625" hidden="0" customWidth="1"/>
    <col min="7" max="7" width="40.6640625" hidden="0" customWidth="1"/>
  </cols>
  <sheetData>
    <row r="1" ht="43.2" customHeight="1">
      <c r="A1" s="1" t="s">
        <v>108</v>
      </c>
      <c r="B1" s="1" t="s">
        <v>109</v>
      </c>
      <c r="C1" s="1" t="s">
        <v>110</v>
      </c>
      <c r="D1" s="1" t="s">
        <v>111</v>
      </c>
      <c r="E1" s="1" t="s">
        <v>112</v>
      </c>
      <c r="F1" s="1" t="s">
        <v>113</v>
      </c>
      <c r="G1" s="1" t="s">
        <v>114</v>
      </c>
    </row>
    <row r="2" ht="28.8" customHeight="1">
      <c r="A2" s="2" t="s">
        <v>115</v>
      </c>
      <c r="B2" s="2" t="s">
        <v>116</v>
      </c>
      <c r="C2" s="2" t="s">
        <v>117</v>
      </c>
      <c r="D2" s="2" t="s">
        <v>118</v>
      </c>
      <c r="E2" s="2" t="s">
        <v>119</v>
      </c>
      <c r="F2" s="2" t="s">
        <v>120</v>
      </c>
      <c r="G2" s="2" t="s">
        <v>121</v>
      </c>
    </row>
    <row r="3" ht="28.8" customHeight="1">
      <c r="A3" s="2" t="s">
        <v>122</v>
      </c>
      <c r="B3" s="2" t="s">
        <v>123</v>
      </c>
      <c r="C3" s="2" t="s">
        <v>117</v>
      </c>
      <c r="D3" s="2" t="s">
        <v>124</v>
      </c>
      <c r="E3" s="2" t="s">
        <v>125</v>
      </c>
      <c r="F3" s="2" t="s">
        <v>120</v>
      </c>
      <c r="G3" s="2" t="s">
        <v>121</v>
      </c>
    </row>
    <row r="4" ht="28.8" customHeight="1">
      <c r="A4" s="2" t="s">
        <v>126</v>
      </c>
      <c r="B4" s="2" t="s">
        <v>127</v>
      </c>
      <c r="C4" s="2" t="s">
        <v>117</v>
      </c>
      <c r="D4" s="2" t="s">
        <v>128</v>
      </c>
      <c r="E4" s="2" t="s">
        <v>129</v>
      </c>
      <c r="F4" s="2" t="s">
        <v>120</v>
      </c>
      <c r="G4" s="2" t="s">
        <v>121</v>
      </c>
    </row>
    <row r="5" ht="28.8" customHeight="1">
      <c r="A5" s="2" t="s">
        <v>130</v>
      </c>
      <c r="B5" s="2" t="s">
        <v>131</v>
      </c>
      <c r="C5" s="2" t="s">
        <v>117</v>
      </c>
      <c r="D5" s="2" t="s">
        <v>132</v>
      </c>
      <c r="E5" s="2" t="s">
        <v>133</v>
      </c>
      <c r="F5" s="2" t="s">
        <v>120</v>
      </c>
      <c r="G5" s="2" t="s">
        <v>121</v>
      </c>
    </row>
    <row r="6" ht="28.8" customHeight="1">
      <c r="A6" s="2" t="s">
        <v>134</v>
      </c>
      <c r="B6" s="2" t="s">
        <v>135</v>
      </c>
      <c r="C6" s="2" t="s">
        <v>117</v>
      </c>
      <c r="D6" s="2" t="s">
        <v>136</v>
      </c>
      <c r="E6" s="2" t="s">
        <v>137</v>
      </c>
      <c r="F6" s="2" t="s">
        <v>120</v>
      </c>
      <c r="G6" s="2" t="s">
        <v>121</v>
      </c>
    </row>
    <row r="7" ht="28.8" customHeight="1">
      <c r="A7" s="2" t="s">
        <v>138</v>
      </c>
      <c r="B7" s="2" t="s">
        <v>139</v>
      </c>
      <c r="C7" s="2" t="s">
        <v>117</v>
      </c>
      <c r="D7" s="2" t="s">
        <v>140</v>
      </c>
      <c r="E7" s="2" t="s">
        <v>141</v>
      </c>
      <c r="F7" s="2" t="s">
        <v>120</v>
      </c>
      <c r="G7" s="2" t="s">
        <v>121</v>
      </c>
    </row>
    <row r="8" ht="43.2" customHeight="1">
      <c r="A8" s="2" t="s">
        <v>142</v>
      </c>
      <c r="B8" s="2" t="s">
        <v>143</v>
      </c>
      <c r="C8" s="2" t="s">
        <v>117</v>
      </c>
      <c r="D8" s="2" t="s">
        <v>144</v>
      </c>
      <c r="E8" s="2" t="s">
        <v>145</v>
      </c>
      <c r="F8" s="2" t="s">
        <v>120</v>
      </c>
      <c r="G8" s="2" t="s">
        <v>121</v>
      </c>
    </row>
    <row r="9" ht="28.8" customHeight="1">
      <c r="A9" s="2" t="s">
        <v>146</v>
      </c>
      <c r="B9" s="2" t="s">
        <v>147</v>
      </c>
      <c r="C9" s="2" t="s">
        <v>117</v>
      </c>
      <c r="D9" s="2" t="s">
        <v>148</v>
      </c>
      <c r="E9" s="2" t="s">
        <v>149</v>
      </c>
      <c r="F9" s="2" t="s">
        <v>120</v>
      </c>
      <c r="G9" s="2" t="s">
        <v>121</v>
      </c>
    </row>
    <row r="10" ht="28.8" customHeight="1">
      <c r="A10" s="2" t="s">
        <v>150</v>
      </c>
      <c r="B10" s="2" t="s">
        <v>151</v>
      </c>
      <c r="C10" s="2" t="s">
        <v>152</v>
      </c>
      <c r="D10" s="2" t="s">
        <v>153</v>
      </c>
      <c r="E10" s="2" t="s">
        <v>154</v>
      </c>
      <c r="F10" s="2" t="s">
        <v>120</v>
      </c>
      <c r="G10" s="2" t="s">
        <v>121</v>
      </c>
    </row>
    <row r="11" ht="28.8" customHeight="1">
      <c r="A11" s="2" t="s">
        <v>155</v>
      </c>
      <c r="B11" s="2" t="s">
        <v>156</v>
      </c>
      <c r="C11" s="2" t="s">
        <v>152</v>
      </c>
      <c r="D11" s="2" t="s">
        <v>157</v>
      </c>
      <c r="E11" s="2" t="s">
        <v>158</v>
      </c>
      <c r="F11" s="2" t="s">
        <v>120</v>
      </c>
      <c r="G11" s="2" t="s">
        <v>121</v>
      </c>
    </row>
    <row r="12" ht="28.8" customHeight="1">
      <c r="A12" s="2" t="s">
        <v>159</v>
      </c>
      <c r="B12" s="2" t="s">
        <v>160</v>
      </c>
      <c r="C12" s="2" t="s">
        <v>152</v>
      </c>
      <c r="D12" s="2" t="s">
        <v>161</v>
      </c>
      <c r="E12" s="2" t="s">
        <v>162</v>
      </c>
      <c r="F12" s="2" t="s">
        <v>120</v>
      </c>
      <c r="G12" s="2" t="s">
        <v>121</v>
      </c>
    </row>
    <row r="13" ht="28.8" customHeight="1">
      <c r="A13" s="2" t="s">
        <v>163</v>
      </c>
      <c r="B13" s="2" t="s">
        <v>164</v>
      </c>
      <c r="C13" s="2" t="s">
        <v>165</v>
      </c>
      <c r="D13" s="2" t="s">
        <v>166</v>
      </c>
      <c r="E13" s="2" t="s">
        <v>167</v>
      </c>
      <c r="F13" s="2" t="s">
        <v>120</v>
      </c>
      <c r="G13" s="2" t="s">
        <v>121</v>
      </c>
    </row>
    <row r="14" ht="28.8" customHeight="1">
      <c r="A14" s="2" t="s">
        <v>168</v>
      </c>
      <c r="B14" s="2" t="s">
        <v>169</v>
      </c>
      <c r="C14" s="2" t="s">
        <v>165</v>
      </c>
      <c r="D14" s="2" t="s">
        <v>170</v>
      </c>
      <c r="E14" s="2" t="s">
        <v>171</v>
      </c>
      <c r="F14" s="2" t="s">
        <v>120</v>
      </c>
      <c r="G14" s="2" t="s">
        <v>121</v>
      </c>
    </row>
    <row r="15" ht="28.8" customHeight="1">
      <c r="A15" s="2" t="s">
        <v>172</v>
      </c>
      <c r="B15" s="2" t="s">
        <v>173</v>
      </c>
      <c r="C15" s="2" t="s">
        <v>165</v>
      </c>
      <c r="D15" s="2" t="s">
        <v>174</v>
      </c>
      <c r="E15" s="2" t="s">
        <v>175</v>
      </c>
      <c r="F15" s="2" t="s">
        <v>120</v>
      </c>
      <c r="G15" s="2" t="s">
        <v>121</v>
      </c>
    </row>
    <row r="16" ht="28.8" customHeight="1">
      <c r="A16" s="2" t="s">
        <v>176</v>
      </c>
      <c r="B16" s="2" t="s">
        <v>177</v>
      </c>
      <c r="C16" s="2" t="s">
        <v>165</v>
      </c>
      <c r="D16" s="2" t="s">
        <v>178</v>
      </c>
      <c r="E16" s="2" t="s">
        <v>179</v>
      </c>
      <c r="F16" s="2" t="s">
        <v>120</v>
      </c>
      <c r="G16" s="2" t="s">
        <v>121</v>
      </c>
    </row>
    <row r="17" ht="43.2" customHeight="1">
      <c r="A17" s="2" t="s">
        <v>180</v>
      </c>
      <c r="B17" s="2" t="s">
        <v>181</v>
      </c>
      <c r="C17" s="2" t="s">
        <v>165</v>
      </c>
      <c r="D17" s="2" t="s">
        <v>182</v>
      </c>
      <c r="E17" s="2" t="s">
        <v>183</v>
      </c>
      <c r="F17" s="2" t="s">
        <v>120</v>
      </c>
      <c r="G17" s="2" t="s">
        <v>121</v>
      </c>
    </row>
    <row r="18" ht="28.8" customHeight="1">
      <c r="A18" s="2" t="s">
        <v>184</v>
      </c>
      <c r="B18" s="2" t="s">
        <v>185</v>
      </c>
      <c r="C18" s="2" t="s">
        <v>186</v>
      </c>
      <c r="D18" s="2" t="s">
        <v>187</v>
      </c>
      <c r="E18" s="2" t="s">
        <v>188</v>
      </c>
      <c r="F18" s="2" t="s">
        <v>120</v>
      </c>
      <c r="G18" s="2" t="s">
        <v>121</v>
      </c>
    </row>
    <row r="19" ht="28.8" customHeight="1">
      <c r="A19" s="2" t="s">
        <v>189</v>
      </c>
      <c r="B19" s="2" t="s">
        <v>190</v>
      </c>
      <c r="C19" s="2" t="s">
        <v>186</v>
      </c>
      <c r="D19" s="2" t="s">
        <v>191</v>
      </c>
      <c r="E19" s="2" t="s">
        <v>192</v>
      </c>
      <c r="F19" s="2" t="s">
        <v>120</v>
      </c>
      <c r="G19" s="2" t="s">
        <v>121</v>
      </c>
    </row>
    <row r="20" ht="28.8" customHeight="1">
      <c r="A20" s="2" t="s">
        <v>193</v>
      </c>
      <c r="B20" s="2" t="s">
        <v>194</v>
      </c>
      <c r="C20" s="2" t="s">
        <v>186</v>
      </c>
      <c r="D20" s="2" t="s">
        <v>195</v>
      </c>
      <c r="E20" s="2" t="s">
        <v>196</v>
      </c>
      <c r="F20" s="2" t="s">
        <v>120</v>
      </c>
      <c r="G20" s="2" t="s">
        <v>121</v>
      </c>
    </row>
    <row r="21" ht="28.8" customHeight="1">
      <c r="A21" s="2" t="s">
        <v>197</v>
      </c>
      <c r="B21" s="2" t="s">
        <v>198</v>
      </c>
      <c r="C21" s="2" t="s">
        <v>186</v>
      </c>
      <c r="D21" s="2" t="s">
        <v>199</v>
      </c>
      <c r="E21" s="2" t="s">
        <v>200</v>
      </c>
      <c r="F21" s="2" t="s">
        <v>120</v>
      </c>
      <c r="G21" s="2" t="s">
        <v>121</v>
      </c>
    </row>
    <row r="22" ht="28.8" customHeight="1">
      <c r="A22" s="2" t="s">
        <v>201</v>
      </c>
      <c r="B22" s="2" t="s">
        <v>202</v>
      </c>
      <c r="C22" s="2" t="s">
        <v>186</v>
      </c>
      <c r="D22" s="2" t="s">
        <v>203</v>
      </c>
      <c r="E22" s="2" t="s">
        <v>204</v>
      </c>
      <c r="F22" s="2" t="s">
        <v>120</v>
      </c>
      <c r="G22" s="2" t="s">
        <v>121</v>
      </c>
    </row>
    <row r="23" ht="28.8" customHeight="1">
      <c r="A23" s="2" t="s">
        <v>205</v>
      </c>
      <c r="B23" s="2" t="s">
        <v>206</v>
      </c>
      <c r="C23" s="2" t="s">
        <v>186</v>
      </c>
      <c r="D23" s="2" t="s">
        <v>207</v>
      </c>
      <c r="E23" s="2" t="s">
        <v>208</v>
      </c>
      <c r="F23" s="2" t="s">
        <v>120</v>
      </c>
      <c r="G23" s="2" t="s">
        <v>121</v>
      </c>
    </row>
    <row r="24" ht="28.8" customHeight="1">
      <c r="A24" s="2" t="s">
        <v>209</v>
      </c>
      <c r="B24" s="2" t="s">
        <v>210</v>
      </c>
      <c r="C24" s="2" t="s">
        <v>186</v>
      </c>
      <c r="D24" s="2" t="s">
        <v>211</v>
      </c>
      <c r="E24" s="2" t="s">
        <v>212</v>
      </c>
      <c r="F24" s="2" t="s">
        <v>120</v>
      </c>
      <c r="G24" s="2" t="s">
        <v>121</v>
      </c>
    </row>
    <row r="25" ht="28.8" customHeight="1">
      <c r="A25" s="2" t="s">
        <v>213</v>
      </c>
      <c r="B25" s="2" t="s">
        <v>214</v>
      </c>
      <c r="C25" s="2" t="s">
        <v>186</v>
      </c>
      <c r="D25" s="2" t="s">
        <v>215</v>
      </c>
      <c r="E25" s="2" t="s">
        <v>216</v>
      </c>
      <c r="F25" s="2" t="s">
        <v>120</v>
      </c>
      <c r="G25" s="2" t="s">
        <v>121</v>
      </c>
    </row>
    <row r="26" ht="28.8" customHeight="1">
      <c r="A26" s="2" t="s">
        <v>217</v>
      </c>
      <c r="B26" s="2" t="s">
        <v>218</v>
      </c>
      <c r="C26" s="2" t="s">
        <v>186</v>
      </c>
      <c r="D26" s="2" t="s">
        <v>219</v>
      </c>
      <c r="E26" s="2" t="s">
        <v>220</v>
      </c>
      <c r="F26" s="2" t="s">
        <v>120</v>
      </c>
      <c r="G26" s="2" t="s">
        <v>121</v>
      </c>
    </row>
    <row r="27" ht="28.8" customHeight="1">
      <c r="A27" s="2" t="s">
        <v>221</v>
      </c>
      <c r="B27" s="2" t="s">
        <v>222</v>
      </c>
      <c r="C27" s="2" t="s">
        <v>186</v>
      </c>
      <c r="D27" s="2" t="s">
        <v>223</v>
      </c>
      <c r="E27" s="2" t="s">
        <v>224</v>
      </c>
      <c r="F27" s="2" t="s">
        <v>120</v>
      </c>
      <c r="G27" s="2" t="s">
        <v>121</v>
      </c>
    </row>
    <row r="28" ht="28.8" customHeight="1">
      <c r="A28" s="2" t="s">
        <v>225</v>
      </c>
      <c r="B28" s="2" t="s">
        <v>226</v>
      </c>
      <c r="C28" s="2" t="s">
        <v>227</v>
      </c>
      <c r="D28" s="2" t="s">
        <v>228</v>
      </c>
      <c r="E28" s="2" t="s">
        <v>229</v>
      </c>
      <c r="F28" s="2" t="s">
        <v>120</v>
      </c>
      <c r="G28" s="2" t="s">
        <v>121</v>
      </c>
    </row>
    <row r="29" ht="28.8" customHeight="1">
      <c r="A29" s="2" t="s">
        <v>230</v>
      </c>
      <c r="B29" s="2" t="s">
        <v>231</v>
      </c>
      <c r="C29" s="2" t="s">
        <v>227</v>
      </c>
      <c r="D29" s="2" t="s">
        <v>232</v>
      </c>
      <c r="E29" s="2" t="s">
        <v>233</v>
      </c>
      <c r="F29" s="2" t="s">
        <v>120</v>
      </c>
      <c r="G29" s="2" t="s">
        <v>121</v>
      </c>
    </row>
    <row r="30" ht="28.8" customHeight="1">
      <c r="A30" s="2" t="s">
        <v>234</v>
      </c>
      <c r="B30" s="2" t="s">
        <v>235</v>
      </c>
      <c r="C30" s="2" t="s">
        <v>236</v>
      </c>
      <c r="D30" s="2" t="s">
        <v>237</v>
      </c>
      <c r="E30" s="2" t="s">
        <v>238</v>
      </c>
      <c r="F30" s="2" t="s">
        <v>120</v>
      </c>
      <c r="G30" s="2" t="s">
        <v>121</v>
      </c>
    </row>
    <row r="31" ht="28.8" customHeight="1">
      <c r="A31" s="2" t="s">
        <v>239</v>
      </c>
      <c r="B31" s="2" t="s">
        <v>240</v>
      </c>
      <c r="C31" s="2" t="s">
        <v>236</v>
      </c>
      <c r="D31" s="2" t="s">
        <v>241</v>
      </c>
      <c r="E31" s="2" t="s">
        <v>242</v>
      </c>
      <c r="F31" s="2" t="s">
        <v>120</v>
      </c>
      <c r="G31" s="2" t="s">
        <v>121</v>
      </c>
    </row>
    <row r="32" ht="28.8" customHeight="1">
      <c r="A32" s="2" t="s">
        <v>243</v>
      </c>
      <c r="B32" s="2" t="s">
        <v>244</v>
      </c>
      <c r="C32" s="2" t="s">
        <v>236</v>
      </c>
      <c r="D32" s="2" t="s">
        <v>245</v>
      </c>
      <c r="E32" s="2" t="s">
        <v>246</v>
      </c>
      <c r="F32" s="2" t="s">
        <v>120</v>
      </c>
      <c r="G32" s="2" t="s">
        <v>121</v>
      </c>
    </row>
    <row r="33" ht="28.8" customHeight="1">
      <c r="A33" s="2" t="s">
        <v>247</v>
      </c>
      <c r="B33" s="2" t="s">
        <v>248</v>
      </c>
      <c r="C33" s="2" t="s">
        <v>236</v>
      </c>
      <c r="D33" s="2" t="s">
        <v>249</v>
      </c>
      <c r="E33" s="2" t="s">
        <v>250</v>
      </c>
      <c r="F33" s="2" t="s">
        <v>120</v>
      </c>
      <c r="G33" s="2" t="s">
        <v>121</v>
      </c>
    </row>
    <row r="34" ht="28.8" customHeight="1">
      <c r="A34" s="2" t="s">
        <v>251</v>
      </c>
      <c r="B34" s="2" t="s">
        <v>252</v>
      </c>
      <c r="C34" s="2" t="s">
        <v>236</v>
      </c>
      <c r="D34" s="2" t="s">
        <v>253</v>
      </c>
      <c r="E34" s="2" t="s">
        <v>254</v>
      </c>
      <c r="F34" s="2" t="s">
        <v>120</v>
      </c>
      <c r="G34" s="2" t="s">
        <v>121</v>
      </c>
    </row>
    <row r="35" ht="28.8" customHeight="1">
      <c r="A35" s="2" t="s">
        <v>255</v>
      </c>
      <c r="B35" s="2" t="s">
        <v>256</v>
      </c>
      <c r="C35" s="2" t="s">
        <v>236</v>
      </c>
      <c r="D35" s="2" t="s">
        <v>257</v>
      </c>
      <c r="E35" s="2" t="s">
        <v>258</v>
      </c>
      <c r="F35" s="2" t="s">
        <v>120</v>
      </c>
      <c r="G35" s="2" t="s">
        <v>121</v>
      </c>
    </row>
    <row r="36" ht="28.8" customHeight="1">
      <c r="A36" s="2" t="s">
        <v>259</v>
      </c>
      <c r="B36" s="2" t="s">
        <v>260</v>
      </c>
      <c r="C36" s="2" t="s">
        <v>261</v>
      </c>
      <c r="D36" s="2" t="s">
        <v>262</v>
      </c>
      <c r="E36" s="2" t="s">
        <v>263</v>
      </c>
      <c r="F36" s="2" t="s">
        <v>120</v>
      </c>
      <c r="G36" s="2" t="s">
        <v>121</v>
      </c>
    </row>
    <row r="37">
      <c r="A37" s="2" t="s">
        <v>264</v>
      </c>
      <c r="B37" s="2" t="s">
        <v>265</v>
      </c>
      <c r="C37" s="2" t="s">
        <v>266</v>
      </c>
      <c r="D37" s="2" t="s">
        <v>267</v>
      </c>
      <c r="E37" s="2" t="s">
        <v>268</v>
      </c>
      <c r="F37" s="2" t="s">
        <v>120</v>
      </c>
      <c r="G37" s="2" t="s">
        <v>121</v>
      </c>
    </row>
    <row r="38">
      <c r="A38" s="2" t="s">
        <v>269</v>
      </c>
      <c r="B38" s="2" t="s">
        <v>270</v>
      </c>
      <c r="C38" s="2" t="s">
        <v>266</v>
      </c>
      <c r="D38" s="2" t="s">
        <v>271</v>
      </c>
      <c r="E38" s="2" t="s">
        <v>272</v>
      </c>
      <c r="F38" s="2" t="s">
        <v>120</v>
      </c>
      <c r="G38" s="2" t="s">
        <v>121</v>
      </c>
    </row>
    <row r="39" ht="28.8" customHeight="1">
      <c r="A39" s="2" t="s">
        <v>273</v>
      </c>
      <c r="B39" s="2" t="s">
        <v>274</v>
      </c>
      <c r="C39" s="2" t="s">
        <v>266</v>
      </c>
      <c r="D39" s="2" t="s">
        <v>275</v>
      </c>
      <c r="E39" s="2" t="s">
        <v>276</v>
      </c>
      <c r="F39" s="2" t="s">
        <v>120</v>
      </c>
      <c r="G39" s="2" t="s">
        <v>121</v>
      </c>
    </row>
    <row r="40" ht="28.8" customHeight="1">
      <c r="A40" s="2" t="s">
        <v>277</v>
      </c>
      <c r="B40" s="2" t="s">
        <v>278</v>
      </c>
      <c r="C40" s="2" t="s">
        <v>266</v>
      </c>
      <c r="D40" s="2" t="s">
        <v>279</v>
      </c>
      <c r="E40" s="2" t="s">
        <v>280</v>
      </c>
      <c r="F40" s="2" t="s">
        <v>120</v>
      </c>
      <c r="G40" s="2" t="s">
        <v>121</v>
      </c>
    </row>
    <row r="41">
      <c r="A41" s="2" t="s">
        <v>281</v>
      </c>
      <c r="B41" s="2" t="s">
        <v>282</v>
      </c>
      <c r="C41" s="2" t="s">
        <v>266</v>
      </c>
      <c r="D41" s="2" t="s">
        <v>283</v>
      </c>
      <c r="E41" s="2" t="s">
        <v>284</v>
      </c>
      <c r="F41" s="2" t="s">
        <v>120</v>
      </c>
      <c r="G41" s="2" t="s">
        <v>121</v>
      </c>
    </row>
    <row r="42" ht="28.8" customHeight="1">
      <c r="A42" s="2" t="s">
        <v>285</v>
      </c>
      <c r="B42" s="2" t="s">
        <v>286</v>
      </c>
      <c r="C42" s="2" t="s">
        <v>266</v>
      </c>
      <c r="D42" s="2" t="s">
        <v>287</v>
      </c>
      <c r="E42" s="2" t="s">
        <v>288</v>
      </c>
      <c r="F42" s="2" t="s">
        <v>120</v>
      </c>
      <c r="G42" s="2" t="s">
        <v>121</v>
      </c>
    </row>
    <row r="43" ht="28.8" customHeight="1">
      <c r="A43" s="2" t="s">
        <v>289</v>
      </c>
      <c r="B43" s="2" t="s">
        <v>290</v>
      </c>
      <c r="C43" s="2" t="s">
        <v>266</v>
      </c>
      <c r="D43" s="2" t="s">
        <v>291</v>
      </c>
      <c r="E43" s="2" t="s">
        <v>292</v>
      </c>
      <c r="F43" s="2" t="s">
        <v>120</v>
      </c>
      <c r="G43" s="2" t="s">
        <v>121</v>
      </c>
    </row>
    <row r="44" ht="28.8" customHeight="1">
      <c r="A44" s="2" t="s">
        <v>293</v>
      </c>
      <c r="B44" s="2" t="s">
        <v>294</v>
      </c>
      <c r="C44" s="2" t="s">
        <v>295</v>
      </c>
      <c r="D44" s="2" t="s">
        <v>296</v>
      </c>
      <c r="E44" s="2" t="s">
        <v>297</v>
      </c>
      <c r="F44" s="2" t="s">
        <v>120</v>
      </c>
      <c r="G44" s="2" t="s">
        <v>121</v>
      </c>
    </row>
    <row r="45" ht="28.8" customHeight="1">
      <c r="A45" s="2" t="s">
        <v>298</v>
      </c>
      <c r="B45" s="2" t="s">
        <v>299</v>
      </c>
      <c r="C45" s="2" t="s">
        <v>295</v>
      </c>
      <c r="D45" s="2" t="s">
        <v>300</v>
      </c>
      <c r="E45" s="2" t="s">
        <v>301</v>
      </c>
      <c r="F45" s="2" t="s">
        <v>120</v>
      </c>
      <c r="G45" s="2" t="s">
        <v>121</v>
      </c>
    </row>
    <row r="46" ht="28.8" customHeight="1">
      <c r="A46" s="2" t="s">
        <v>302</v>
      </c>
      <c r="B46" s="2" t="s">
        <v>303</v>
      </c>
      <c r="C46" s="2" t="s">
        <v>295</v>
      </c>
      <c r="D46" s="2" t="s">
        <v>304</v>
      </c>
      <c r="E46" s="2" t="s">
        <v>305</v>
      </c>
      <c r="F46" s="2" t="s">
        <v>120</v>
      </c>
      <c r="G46" s="2" t="s">
        <v>121</v>
      </c>
    </row>
    <row r="47" ht="28.8" customHeight="1">
      <c r="A47" s="2" t="s">
        <v>306</v>
      </c>
      <c r="B47" s="2" t="s">
        <v>307</v>
      </c>
      <c r="C47" s="2" t="s">
        <v>295</v>
      </c>
      <c r="D47" s="2" t="s">
        <v>308</v>
      </c>
      <c r="E47" s="2" t="s">
        <v>309</v>
      </c>
      <c r="F47" s="2" t="s">
        <v>120</v>
      </c>
      <c r="G47" s="2" t="s">
        <v>121</v>
      </c>
    </row>
  </sheetData>
  <autoFilter ref="A1:G47" xr:uid="{00000000-0009-0000-0000-000002000000}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cols>
    <col min="1" max="1" width="14.71" hidden="0" customWidth="1"/>
    <col min="2" max="2" width="9.71" hidden="0" customWidth="1"/>
    <col min="3" max="3" width="30.71" hidden="0" customWidth="1"/>
    <col min="4" max="4" width="12.71" hidden="0" customWidth="1"/>
    <col min="5" max="5" width="13.71" hidden="0" customWidth="1"/>
    <col min="6" max="6" width="17.71" hidden="0" customWidth="1"/>
    <col min="7" max="7" width="15.71" hidden="0" customWidth="1"/>
    <col min="8" max="8" width="13.71" hidden="0" customWidth="1"/>
    <col min="9" max="9" width="13.71" hidden="0" customWidth="1"/>
    <col min="10" max="10" width="13.71" hidden="0" customWidth="1"/>
    <col min="11" max="11" width="10.71" hidden="0" customWidth="1"/>
    <col min="12" max="12" width="9.71" hidden="0" customWidth="1"/>
    <col min="13" max="13" width="8.71" hidden="0" customWidth="1"/>
    <col min="14" max="14" width="10.71" hidden="0" customWidth="1"/>
    <col min="15" max="15" width="17.71" hidden="0" customWidth="1"/>
    <col min="16" max="16" width="16.71" hidden="0" customWidth="1"/>
    <col min="17" max="17" width="17.71" hidden="0" customWidth="1"/>
  </cols>
  <sheetData>
    <row r="1">
      <c r="A1" s="3" t="s">
        <v>318</v>
      </c>
      <c r="B1" s="3" t="s">
        <v>319</v>
      </c>
      <c r="C1" s="3" t="s">
        <v>320</v>
      </c>
      <c r="D1" s="3" t="s">
        <v>321</v>
      </c>
      <c r="E1" s="3" t="s">
        <v>322</v>
      </c>
      <c r="F1" s="3" t="s">
        <v>323</v>
      </c>
      <c r="G1" s="3" t="s">
        <v>324</v>
      </c>
      <c r="H1" s="3" t="s">
        <v>325</v>
      </c>
      <c r="I1" s="3" t="s">
        <v>326</v>
      </c>
      <c r="J1" s="3" t="s">
        <v>327</v>
      </c>
      <c r="K1" s="3" t="s">
        <v>328</v>
      </c>
      <c r="L1" s="3" t="s">
        <v>329</v>
      </c>
      <c r="M1" s="3" t="s">
        <v>330</v>
      </c>
      <c r="N1" s="3" t="s">
        <v>331</v>
      </c>
      <c r="O1" s="3" t="s">
        <v>415</v>
      </c>
      <c r="P1" s="3" t="s">
        <v>416</v>
      </c>
      <c r="Q1" s="3" t="s">
        <v>417</v>
      </c>
    </row>
    <row r="2">
      <c r="A2" s="4" t="s">
        <v>335</v>
      </c>
      <c r="B2" s="4" t="n">
        <v>1</v>
      </c>
      <c r="C2" s="4" t="s">
        <v>336</v>
      </c>
      <c r="D2" s="4" t="n">
        <v>0.999</v>
      </c>
      <c r="E2" s="4" t="n">
        <v>10</v>
      </c>
      <c r="F2" s="4" t="n">
        <v>27</v>
      </c>
      <c r="G2" s="4" t="n">
        <v>331</v>
      </c>
      <c r="H2" s="4" t="n">
        <v>244</v>
      </c>
      <c r="I2" s="4" t="n">
        <v>147</v>
      </c>
      <c r="J2" s="4" t="n">
        <v>87</v>
      </c>
      <c r="K2" s="4" t="n">
        <v>0.624</v>
      </c>
      <c r="L2" s="4" t="n">
        <v>0.737</v>
      </c>
      <c r="M2" s="4" t="n">
        <v>0.676</v>
      </c>
      <c r="N2" s="4" t="n">
        <v>0.51</v>
      </c>
      <c r="O2" s="4" t="n">
        <v>0.702</v>
      </c>
      <c r="P2" s="4" t="n">
        <v>0.673</v>
      </c>
      <c r="Q2" s="4" t="n">
        <v>-0.026</v>
      </c>
    </row>
    <row r="3">
      <c r="A3" s="4" t="s">
        <v>335</v>
      </c>
      <c r="B3" s="4" t="n">
        <v>2</v>
      </c>
      <c r="C3" s="4" t="s">
        <v>337</v>
      </c>
      <c r="D3" s="4" t="n">
        <v>0.999</v>
      </c>
      <c r="E3" s="4" t="n">
        <v>10</v>
      </c>
      <c r="F3" s="4" t="n">
        <v>27</v>
      </c>
      <c r="G3" s="4" t="n">
        <v>331</v>
      </c>
      <c r="H3" s="4" t="n">
        <v>167</v>
      </c>
      <c r="I3" s="4" t="n">
        <v>85</v>
      </c>
      <c r="J3" s="4" t="n">
        <v>164</v>
      </c>
      <c r="K3" s="4" t="n">
        <v>0.663</v>
      </c>
      <c r="L3" s="4" t="n">
        <v>0.505</v>
      </c>
      <c r="M3" s="4" t="n">
        <v>0.573</v>
      </c>
      <c r="N3" s="4" t="n">
        <v>0.401</v>
      </c>
      <c r="O3" s="4" t="n">
        <v>0.601</v>
      </c>
      <c r="P3" s="4" t="n">
        <v>0.57</v>
      </c>
      <c r="Q3" s="4" t="n">
        <v>-0.028</v>
      </c>
    </row>
    <row r="4">
      <c r="A4" s="4" t="s">
        <v>335</v>
      </c>
      <c r="B4" s="4" t="n">
        <v>3</v>
      </c>
      <c r="C4" s="4" t="s">
        <v>338</v>
      </c>
      <c r="D4" s="4" t="n">
        <v>0.999</v>
      </c>
      <c r="E4" s="4" t="n">
        <v>10</v>
      </c>
      <c r="F4" s="4" t="n">
        <v>0</v>
      </c>
      <c r="G4" s="4" t="n">
        <v>331</v>
      </c>
      <c r="H4" s="4" t="n">
        <v>227</v>
      </c>
      <c r="I4" s="4" t="n">
        <v>74</v>
      </c>
      <c r="J4" s="4" t="n">
        <v>104</v>
      </c>
      <c r="K4" s="4" t="n">
        <v>0.754</v>
      </c>
      <c r="L4" s="4" t="n">
        <v>0.686</v>
      </c>
      <c r="M4" s="4" t="n">
        <v>0.718</v>
      </c>
      <c r="N4" s="4" t="n">
        <v>0.56</v>
      </c>
      <c r="O4" s="4" t="n">
        <v>0.718</v>
      </c>
      <c r="P4" s="4" t="n">
        <v>0.712</v>
      </c>
      <c r="Q4" s="4" t="n">
        <v>0</v>
      </c>
    </row>
    <row r="5">
      <c r="A5" s="4" t="s">
        <v>335</v>
      </c>
      <c r="B5" s="4" t="n">
        <v>4</v>
      </c>
      <c r="C5" s="4" t="s">
        <v>339</v>
      </c>
      <c r="D5" s="4" t="n">
        <v>0.999</v>
      </c>
      <c r="E5" s="4" t="n">
        <v>10</v>
      </c>
      <c r="F5" s="4" t="n">
        <v>27</v>
      </c>
      <c r="G5" s="4" t="n">
        <v>331</v>
      </c>
      <c r="H5" s="4" t="n">
        <v>244</v>
      </c>
      <c r="I5" s="4" t="n">
        <v>149</v>
      </c>
      <c r="J5" s="4" t="n">
        <v>87</v>
      </c>
      <c r="K5" s="4" t="n">
        <v>0.621</v>
      </c>
      <c r="L5" s="4" t="n">
        <v>0.737</v>
      </c>
      <c r="M5" s="4" t="n">
        <v>0.674</v>
      </c>
      <c r="N5" s="4" t="n">
        <v>0.508</v>
      </c>
      <c r="O5" s="4" t="n">
        <v>0.7</v>
      </c>
      <c r="P5" s="4" t="n">
        <v>0.671</v>
      </c>
      <c r="Q5" s="4" t="n">
        <v>-0.026</v>
      </c>
    </row>
    <row r="6">
      <c r="A6" s="5" t="s">
        <v>340</v>
      </c>
      <c r="B6" s="5" t="n">
        <v>1</v>
      </c>
      <c r="C6" s="5" t="s">
        <v>336</v>
      </c>
      <c r="D6" s="5" t="n">
        <v>0.995</v>
      </c>
      <c r="E6" s="5" t="n">
        <v>10</v>
      </c>
      <c r="F6" s="5" t="n">
        <v>42</v>
      </c>
      <c r="G6" s="5" t="n">
        <v>331</v>
      </c>
      <c r="H6" s="5" t="n">
        <v>269</v>
      </c>
      <c r="I6" s="5" t="n">
        <v>145</v>
      </c>
      <c r="J6" s="5" t="n">
        <v>62</v>
      </c>
      <c r="K6" s="5" t="n">
        <v>0.65</v>
      </c>
      <c r="L6" s="5" t="n">
        <v>0.813</v>
      </c>
      <c r="M6" s="5" t="n">
        <v>0.722</v>
      </c>
      <c r="N6" s="5" t="n">
        <v>0.565</v>
      </c>
      <c r="O6" s="5" t="n">
        <v>0.765</v>
      </c>
      <c r="P6" s="5" t="n">
        <v>0.73</v>
      </c>
      <c r="Q6" s="5" t="n">
        <v>-0.043</v>
      </c>
    </row>
    <row r="7">
      <c r="A7" s="5" t="s">
        <v>340</v>
      </c>
      <c r="B7" s="5" t="n">
        <v>2</v>
      </c>
      <c r="C7" s="5" t="s">
        <v>337</v>
      </c>
      <c r="D7" s="5" t="n">
        <v>0.995</v>
      </c>
      <c r="E7" s="5" t="n">
        <v>10</v>
      </c>
      <c r="F7" s="5" t="n">
        <v>42</v>
      </c>
      <c r="G7" s="5" t="n">
        <v>331</v>
      </c>
      <c r="H7" s="5" t="n">
        <v>246</v>
      </c>
      <c r="I7" s="5" t="n">
        <v>80</v>
      </c>
      <c r="J7" s="5" t="n">
        <v>85</v>
      </c>
      <c r="K7" s="5" t="n">
        <v>0.755</v>
      </c>
      <c r="L7" s="5" t="n">
        <v>0.743</v>
      </c>
      <c r="M7" s="5" t="n">
        <v>0.749</v>
      </c>
      <c r="N7" s="5" t="n">
        <v>0.599</v>
      </c>
      <c r="O7" s="5" t="n">
        <v>0.8</v>
      </c>
      <c r="P7" s="5" t="n">
        <v>0.757</v>
      </c>
      <c r="Q7" s="5" t="n">
        <v>-0.051</v>
      </c>
    </row>
    <row r="8">
      <c r="A8" s="5" t="s">
        <v>340</v>
      </c>
      <c r="B8" s="5" t="n">
        <v>3</v>
      </c>
      <c r="C8" s="5" t="s">
        <v>338</v>
      </c>
      <c r="D8" s="5" t="n">
        <v>0.995</v>
      </c>
      <c r="E8" s="5" t="n">
        <v>20</v>
      </c>
      <c r="F8" s="5" t="n">
        <v>0</v>
      </c>
      <c r="G8" s="5" t="n">
        <v>331</v>
      </c>
      <c r="H8" s="5" t="n">
        <v>244</v>
      </c>
      <c r="I8" s="5" t="n">
        <v>73</v>
      </c>
      <c r="J8" s="5" t="n">
        <v>87</v>
      </c>
      <c r="K8" s="5" t="n">
        <v>0.77</v>
      </c>
      <c r="L8" s="5" t="n">
        <v>0.737</v>
      </c>
      <c r="M8" s="5" t="n">
        <v>0.753</v>
      </c>
      <c r="N8" s="5" t="n">
        <v>0.604</v>
      </c>
      <c r="O8" s="5" t="n">
        <v>0.753</v>
      </c>
      <c r="P8" s="5" t="n">
        <v>0.746</v>
      </c>
      <c r="Q8" s="5" t="n">
        <v>0</v>
      </c>
    </row>
    <row r="9">
      <c r="A9" s="5" t="s">
        <v>340</v>
      </c>
      <c r="B9" s="5" t="n">
        <v>4</v>
      </c>
      <c r="C9" s="5" t="s">
        <v>339</v>
      </c>
      <c r="D9" s="5" t="n">
        <v>0.995</v>
      </c>
      <c r="E9" s="5" t="n">
        <v>10</v>
      </c>
      <c r="F9" s="5" t="n">
        <v>42</v>
      </c>
      <c r="G9" s="5" t="n">
        <v>331</v>
      </c>
      <c r="H9" s="5" t="n">
        <v>269</v>
      </c>
      <c r="I9" s="5" t="n">
        <v>145</v>
      </c>
      <c r="J9" s="5" t="n">
        <v>62</v>
      </c>
      <c r="K9" s="5" t="n">
        <v>0.65</v>
      </c>
      <c r="L9" s="5" t="n">
        <v>0.813</v>
      </c>
      <c r="M9" s="5" t="n">
        <v>0.722</v>
      </c>
      <c r="N9" s="5" t="n">
        <v>0.565</v>
      </c>
      <c r="O9" s="5" t="n">
        <v>0.765</v>
      </c>
      <c r="P9" s="5" t="n">
        <v>0.73</v>
      </c>
      <c r="Q9" s="5" t="n">
        <v>-0.043</v>
      </c>
    </row>
  </sheetData>
  <conditionalFormatting sqref="M2:M9">
    <cfRule type="colorScale" priority="4">
      <colorScale>
        <cfvo type="num" val="0.5"/>
        <cfvo type="num" val="0.7"/>
        <cfvo type="num" val="0.85"/>
        <color rgb="FFF8696B"/>
        <color rgb="FFFFEB84"/>
        <color rgb="FF63BE7B"/>
      </colorScale>
    </cfRule>
  </conditionalFormatting>
  <conditionalFormatting sqref="K2:K9">
    <cfRule type="colorScale" priority="3">
      <colorScale>
        <cfvo type="num" val="0.5"/>
        <cfvo type="num" val="0.7"/>
        <cfvo type="num" val="0.85"/>
        <color rgb="FFF8696B"/>
        <color rgb="FFFFEB84"/>
        <color rgb="FF63BE7B"/>
      </colorScale>
    </cfRule>
  </conditionalFormatting>
  <conditionalFormatting sqref="L2:L9">
    <cfRule type="colorScale" priority="2">
      <colorScale>
        <cfvo type="num" val="0.5"/>
        <cfvo type="num" val="0.7"/>
        <cfvo type="num" val="0.85"/>
        <color rgb="FFF8696B"/>
        <color rgb="FFFFEB84"/>
        <color rgb="FF63BE7B"/>
      </colorScale>
    </cfRule>
  </conditionalFormatting>
  <conditionalFormatting sqref="N2:N9">
    <cfRule type="colorScale" priority="1">
      <colorScale>
        <cfvo type="num" val="0.5"/>
        <cfvo type="num" val="0.7"/>
        <cfvo type="num" val="0.85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cols>
    <col min="1" max="1" width="10.71" hidden="0" customWidth="1"/>
    <col min="2" max="2" width="34.71" hidden="0" customWidth="1"/>
    <col min="3" max="3" width="28.71" hidden="0" customWidth="1"/>
    <col min="4" max="4" width="11.71" hidden="0" customWidth="1"/>
    <col min="5" max="5" width="38.71" hidden="0" customWidth="1"/>
    <col min="6" max="6" width="70.71" hidden="0" customWidth="1"/>
    <col min="7" max="7" width="70.71" hidden="0" customWidth="1"/>
    <col min="8" max="8" width="34.71" hidden="0" customWidth="1"/>
    <col min="9" max="9" width="17.71" hidden="0" customWidth="1"/>
    <col min="10" max="10" width="34.71" hidden="0" customWidth="1"/>
    <col min="11" max="11" width="17.71" hidden="0" customWidth="1"/>
    <col min="12" max="12" width="12.71" hidden="0" customWidth="1"/>
  </cols>
  <sheetData>
    <row r="1">
      <c r="A1" s="6" t="s">
        <v>341</v>
      </c>
      <c r="B1" s="6" t="s">
        <v>342</v>
      </c>
      <c r="C1" s="6" t="s">
        <v>343</v>
      </c>
      <c r="D1" s="6" t="s">
        <v>344</v>
      </c>
      <c r="E1" s="6" t="s">
        <v>345</v>
      </c>
      <c r="F1" s="6" t="s">
        <v>346</v>
      </c>
      <c r="G1" s="6" t="s">
        <v>347</v>
      </c>
      <c r="H1" s="6" t="s">
        <v>348</v>
      </c>
      <c r="I1" s="6" t="s">
        <v>349</v>
      </c>
      <c r="J1" s="6" t="s">
        <v>350</v>
      </c>
      <c r="K1" s="6" t="s">
        <v>351</v>
      </c>
      <c r="L1" s="6" t="s">
        <v>352</v>
      </c>
    </row>
    <row r="2">
      <c r="A2" s="2" t="s">
        <v>353</v>
      </c>
      <c r="B2" s="2" t="s">
        <v>354</v>
      </c>
      <c r="C2" s="2" t="s">
        <v>355</v>
      </c>
      <c r="D2" s="2" t="s">
        <v>356</v>
      </c>
      <c r="E2" s="2" t="s">
        <v>357</v>
      </c>
      <c r="F2" s="2" t="s">
        <v>358</v>
      </c>
      <c r="G2" s="2" t="s">
        <v>359</v>
      </c>
      <c r="H2" s="2" t="s">
        <v>360</v>
      </c>
      <c r="I2" s="2" t="s">
        <v>361</v>
      </c>
      <c r="J2" s="2" t="s">
        <v>362</v>
      </c>
      <c r="K2" s="2" t="s">
        <v>363</v>
      </c>
      <c r="L2" s="2" t="s">
        <v>315</v>
      </c>
    </row>
    <row r="3">
      <c r="A3" s="2" t="s">
        <v>364</v>
      </c>
      <c r="B3" s="2" t="s">
        <v>365</v>
      </c>
      <c r="C3" s="2" t="s">
        <v>355</v>
      </c>
      <c r="D3" s="2" t="s">
        <v>366</v>
      </c>
      <c r="E3" s="2" t="s">
        <v>367</v>
      </c>
      <c r="F3" s="2" t="s">
        <v>368</v>
      </c>
      <c r="G3" s="2" t="s">
        <v>369</v>
      </c>
      <c r="H3" s="2" t="s">
        <v>370</v>
      </c>
      <c r="I3" s="2" t="s">
        <v>371</v>
      </c>
      <c r="J3" s="2" t="s">
        <v>372</v>
      </c>
      <c r="K3" s="2" t="s">
        <v>373</v>
      </c>
      <c r="L3" s="2" t="s">
        <v>315</v>
      </c>
    </row>
    <row r="4">
      <c r="A4" s="2" t="s">
        <v>374</v>
      </c>
      <c r="B4" s="2" t="s">
        <v>375</v>
      </c>
      <c r="C4" s="2" t="s">
        <v>355</v>
      </c>
      <c r="D4" s="2" t="s">
        <v>376</v>
      </c>
      <c r="E4" s="2" t="s">
        <v>377</v>
      </c>
      <c r="F4" s="2" t="s">
        <v>378</v>
      </c>
      <c r="G4" s="2" t="s">
        <v>379</v>
      </c>
      <c r="H4" s="2" t="s">
        <v>380</v>
      </c>
      <c r="I4" s="2" t="s">
        <v>381</v>
      </c>
      <c r="J4" s="2" t="s">
        <v>382</v>
      </c>
      <c r="K4" s="2" t="s">
        <v>383</v>
      </c>
      <c r="L4" s="2" t="s">
        <v>315</v>
      </c>
    </row>
    <row r="5">
      <c r="A5" s="2" t="s">
        <v>384</v>
      </c>
      <c r="B5" s="2" t="s">
        <v>385</v>
      </c>
      <c r="C5" s="2" t="s">
        <v>386</v>
      </c>
      <c r="D5" s="2" t="s">
        <v>387</v>
      </c>
      <c r="E5" s="2" t="s">
        <v>388</v>
      </c>
      <c r="F5" s="2" t="s">
        <v>389</v>
      </c>
      <c r="G5" s="2" t="s">
        <v>390</v>
      </c>
      <c r="H5" s="2" t="s">
        <v>391</v>
      </c>
      <c r="I5" s="2" t="s">
        <v>392</v>
      </c>
      <c r="J5" s="2" t="s">
        <v>393</v>
      </c>
      <c r="K5" s="2" t="s">
        <v>394</v>
      </c>
      <c r="L5" s="2" t="s">
        <v>315</v>
      </c>
    </row>
    <row r="6">
      <c r="A6" s="2" t="s">
        <v>395</v>
      </c>
      <c r="B6" s="2" t="s">
        <v>396</v>
      </c>
      <c r="C6" s="2" t="s">
        <v>386</v>
      </c>
      <c r="D6" s="2" t="s">
        <v>395</v>
      </c>
      <c r="E6" s="2" t="s">
        <v>397</v>
      </c>
      <c r="F6" s="2" t="s">
        <v>398</v>
      </c>
      <c r="G6" s="2" t="s">
        <v>399</v>
      </c>
      <c r="H6" s="2" t="s">
        <v>400</v>
      </c>
      <c r="I6" s="2" t="s">
        <v>401</v>
      </c>
      <c r="J6" s="2" t="s">
        <v>402</v>
      </c>
      <c r="K6" s="2" t="s">
        <v>403</v>
      </c>
      <c r="L6" s="2" t="s">
        <v>315</v>
      </c>
    </row>
    <row r="7">
      <c r="A7" s="2" t="s">
        <v>404</v>
      </c>
      <c r="B7" s="2" t="s">
        <v>405</v>
      </c>
      <c r="C7" s="2" t="s">
        <v>406</v>
      </c>
      <c r="D7" s="2" t="s">
        <v>407</v>
      </c>
      <c r="E7" s="2" t="s">
        <v>408</v>
      </c>
      <c r="F7" s="2" t="s">
        <v>409</v>
      </c>
      <c r="G7" s="2" t="s">
        <v>410</v>
      </c>
      <c r="H7" s="2" t="s">
        <v>411</v>
      </c>
      <c r="I7" s="2" t="s">
        <v>412</v>
      </c>
      <c r="J7" s="2" t="s">
        <v>413</v>
      </c>
      <c r="K7" s="2" t="s">
        <v>414</v>
      </c>
      <c r="L7" s="2" t="s">
        <v>315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huzno</dc:creator>
  <cp:lastModifiedBy>Muhammad Huzaifa (749056)</cp:lastModifiedBy>
  <dcterms:created xsi:type="dcterms:W3CDTF">2026-09-29T22:28:09Z</dcterms:created>
  <dcterms:modified xsi:type="dcterms:W3CDTF">2026-09-29T22:40:42Z</dcterms:modified>
</cp:coreProperties>
</file>